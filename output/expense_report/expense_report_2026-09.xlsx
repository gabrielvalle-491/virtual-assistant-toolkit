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enses" sheetId="2" state="visible" r:id="rId2"/>
    <sheet name="Policy flags" sheetId="3" state="visible" r:id="rId3"/>
  </sheets>
  <definedNames>
    <definedName name="_xlnm._FilterDatabase" localSheetId="1" hidden="1">'Expenses'!$A$1:$L$40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4" fontId="0" fillId="2" borderId="0" pivotButton="0" quotePrefix="0" xfId="0"/>
    <xf numFmtId="165" fontId="0" fillId="2" borderId="0" pivotButton="0" quotePrefix="0" xfId="0"/>
    <xf numFmtId="164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 by category — 2026-09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'Summary'!C4</f>
            </strRef>
          </tx>
          <spPr>
            <a:ln>
              <a:prstDash val="solid"/>
            </a:ln>
          </spPr>
          <cat>
            <numRef>
              <f>'Summary'!$A$5:$A$10</f>
            </numRef>
          </cat>
          <val>
            <numRef>
              <f>'Summary'!$C$5:$C$10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53" customWidth="1" min="3" max="3"/>
    <col width="60" customWidth="1" min="4" max="4"/>
  </cols>
  <sheetData>
    <row r="1">
      <c r="A1" s="1" t="inlineStr">
        <is>
          <t>Expense report — 2026-09</t>
        </is>
      </c>
    </row>
    <row r="2">
      <c r="A2" s="2" t="inlineStr">
        <is>
          <t>Synthetic demo data · amounts in USD · formulas recalculate in Excel</t>
        </is>
      </c>
    </row>
    <row r="3"/>
    <row r="4">
      <c r="A4" s="3" t="inlineStr">
        <is>
          <t>Category</t>
        </is>
      </c>
      <c r="B4" s="3" t="inlineStr">
        <is>
          <t>Items</t>
        </is>
      </c>
      <c r="C4" s="3" t="inlineStr">
        <is>
          <t>Total USD</t>
        </is>
      </c>
      <c r="D4" s="3" t="inlineStr">
        <is>
          <t>Flagged items</t>
        </is>
      </c>
    </row>
    <row r="5">
      <c r="A5" t="inlineStr">
        <is>
          <t>Travel</t>
        </is>
      </c>
      <c r="B5">
        <f>COUNTIF(Expenses!$C$2:$C$40,A5)</f>
        <v/>
      </c>
      <c r="C5" s="4">
        <f>SUMIF(Expenses!$C$2:$C$40,A5,Expenses!$I$2:$I$40)</f>
        <v/>
      </c>
      <c r="D5">
        <f>COUNTIFS(Expenses!$C$2:$C$40,A5,Expenses!$K$2:$K$40,"FLAGGED")</f>
        <v/>
      </c>
    </row>
    <row r="6">
      <c r="A6" t="inlineStr">
        <is>
          <t>Lodging</t>
        </is>
      </c>
      <c r="B6">
        <f>COUNTIF(Expenses!$C$2:$C$40,A6)</f>
        <v/>
      </c>
      <c r="C6" s="4">
        <f>SUMIF(Expenses!$C$2:$C$40,A6,Expenses!$I$2:$I$40)</f>
        <v/>
      </c>
      <c r="D6">
        <f>COUNTIFS(Expenses!$C$2:$C$40,A6,Expenses!$K$2:$K$40,"FLAGGED")</f>
        <v/>
      </c>
    </row>
    <row r="7">
      <c r="A7" t="inlineStr">
        <is>
          <t>Meals</t>
        </is>
      </c>
      <c r="B7">
        <f>COUNTIF(Expenses!$C$2:$C$40,A7)</f>
        <v/>
      </c>
      <c r="C7" s="4">
        <f>SUMIF(Expenses!$C$2:$C$40,A7,Expenses!$I$2:$I$40)</f>
        <v/>
      </c>
      <c r="D7">
        <f>COUNTIFS(Expenses!$C$2:$C$40,A7,Expenses!$K$2:$K$40,"FLAGGED")</f>
        <v/>
      </c>
    </row>
    <row r="8">
      <c r="A8" t="inlineStr">
        <is>
          <t>Office Supplies</t>
        </is>
      </c>
      <c r="B8">
        <f>COUNTIF(Expenses!$C$2:$C$40,A8)</f>
        <v/>
      </c>
      <c r="C8" s="4">
        <f>SUMIF(Expenses!$C$2:$C$40,A8,Expenses!$I$2:$I$40)</f>
        <v/>
      </c>
      <c r="D8">
        <f>COUNTIFS(Expenses!$C$2:$C$40,A8,Expenses!$K$2:$K$40,"FLAGGED")</f>
        <v/>
      </c>
    </row>
    <row r="9">
      <c r="A9" t="inlineStr">
        <is>
          <t>Transport</t>
        </is>
      </c>
      <c r="B9">
        <f>COUNTIF(Expenses!$C$2:$C$40,A9)</f>
        <v/>
      </c>
      <c r="C9" s="4">
        <f>SUMIF(Expenses!$C$2:$C$40,A9,Expenses!$I$2:$I$40)</f>
        <v/>
      </c>
      <c r="D9">
        <f>COUNTIFS(Expenses!$C$2:$C$40,A9,Expenses!$K$2:$K$40,"FLAGGED")</f>
        <v/>
      </c>
    </row>
    <row r="10">
      <c r="A10" t="inlineStr">
        <is>
          <t>Software</t>
        </is>
      </c>
      <c r="B10">
        <f>COUNTIF(Expenses!$C$2:$C$40,A10)</f>
        <v/>
      </c>
      <c r="C10" s="4">
        <f>SUMIF(Expenses!$C$2:$C$40,A10,Expenses!$I$2:$I$40)</f>
        <v/>
      </c>
      <c r="D10">
        <f>COUNTIFS(Expenses!$C$2:$C$40,A10,Expenses!$K$2:$K$40,"FLAGGED")</f>
        <v/>
      </c>
    </row>
    <row r="11">
      <c r="A11" s="5" t="inlineStr">
        <is>
          <t>TOTAL</t>
        </is>
      </c>
      <c r="B11" s="5">
        <f>SUM(B5:B10)</f>
        <v/>
      </c>
      <c r="C11" s="6">
        <f>SUM(C5:C10)</f>
        <v/>
      </c>
      <c r="D11" s="5">
        <f>SUM(D5:D10)</f>
        <v/>
      </c>
    </row>
    <row r="12"/>
    <row r="13">
      <c r="A13" s="3" t="inlineStr">
        <is>
          <t>Employee</t>
        </is>
      </c>
      <c r="B13" s="3" t="inlineStr">
        <is>
          <t>Items</t>
        </is>
      </c>
      <c r="C13" s="3" t="inlineStr">
        <is>
          <t>Total USD</t>
        </is>
      </c>
      <c r="D13" s="3" t="inlineStr">
        <is>
          <t>Flagged items</t>
        </is>
      </c>
    </row>
    <row r="14">
      <c r="A14" t="inlineStr">
        <is>
          <t>Aisha Bello</t>
        </is>
      </c>
      <c r="B14">
        <f>COUNTIF(Expenses!$B$2:$B$40,A14)</f>
        <v/>
      </c>
      <c r="C14" s="4">
        <f>SUMIF(Expenses!$B$2:$B$40,A14,Expenses!$I$2:$I$40)</f>
        <v/>
      </c>
      <c r="D14">
        <f>COUNTIFS(Expenses!$B$2:$B$40,A14,Expenses!$K$2:$K$40,"FLAGGED")</f>
        <v/>
      </c>
    </row>
    <row r="15">
      <c r="A15" t="inlineStr">
        <is>
          <t>Laura Gómez</t>
        </is>
      </c>
      <c r="B15">
        <f>COUNTIF(Expenses!$B$2:$B$40,A15)</f>
        <v/>
      </c>
      <c r="C15" s="4">
        <f>SUMIF(Expenses!$B$2:$B$40,A15,Expenses!$I$2:$I$40)</f>
        <v/>
      </c>
      <c r="D15">
        <f>COUNTIFS(Expenses!$B$2:$B$40,A15,Expenses!$K$2:$K$40,"FLAGGED")</f>
        <v/>
      </c>
    </row>
    <row r="16">
      <c r="A16" t="inlineStr">
        <is>
          <t>Martín Sosa</t>
        </is>
      </c>
      <c r="B16">
        <f>COUNTIF(Expenses!$B$2:$B$40,A16)</f>
        <v/>
      </c>
      <c r="C16" s="4">
        <f>SUMIF(Expenses!$B$2:$B$40,A16,Expenses!$I$2:$I$40)</f>
        <v/>
      </c>
      <c r="D16">
        <f>COUNTIFS(Expenses!$B$2:$B$40,A16,Expenses!$K$2:$K$40,"FLAGGED")</f>
        <v/>
      </c>
    </row>
    <row r="17">
      <c r="A17" t="inlineStr">
        <is>
          <t>Peter Novak</t>
        </is>
      </c>
      <c r="B17">
        <f>COUNTIF(Expenses!$B$2:$B$40,A17)</f>
        <v/>
      </c>
      <c r="C17" s="4">
        <f>SUMIF(Expenses!$B$2:$B$40,A17,Expenses!$I$2:$I$40)</f>
        <v/>
      </c>
      <c r="D17">
        <f>COUNTIFS(Expenses!$B$2:$B$40,A17,Expenses!$K$2:$K$40,"FLAGGED")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7" customWidth="1" min="4" max="4"/>
    <col width="28" customWidth="1" min="5" max="5"/>
    <col width="9" customWidth="1" min="6" max="6"/>
    <col width="10" customWidth="1" min="7" max="7"/>
    <col width="13" customWidth="1" min="8" max="8"/>
    <col width="19" customWidth="1" min="9" max="9"/>
    <col width="12" customWidth="1" min="10" max="10"/>
    <col width="9" customWidth="1" min="11" max="11"/>
    <col width="60" customWidth="1" min="12" max="12"/>
  </cols>
  <sheetData>
    <row r="1">
      <c r="A1" s="3" t="inlineStr">
        <is>
          <t>Date</t>
        </is>
      </c>
      <c r="B1" s="3" t="inlineStr">
        <is>
          <t>Employee</t>
        </is>
      </c>
      <c r="C1" s="3" t="inlineStr">
        <is>
          <t>Category</t>
        </is>
      </c>
      <c r="D1" s="3" t="inlineStr">
        <is>
          <t>Vendor</t>
        </is>
      </c>
      <c r="E1" s="3" t="inlineStr">
        <is>
          <t>Description</t>
        </is>
      </c>
      <c r="F1" s="3" t="inlineStr">
        <is>
          <t>Amount</t>
        </is>
      </c>
      <c r="G1" s="3" t="inlineStr">
        <is>
          <t>Currency</t>
        </is>
      </c>
      <c r="H1" s="3" t="inlineStr">
        <is>
          <t>Rate to USD</t>
        </is>
      </c>
      <c r="I1" s="3" t="inlineStr">
        <is>
          <t>Amount USD</t>
        </is>
      </c>
      <c r="J1" s="3" t="inlineStr">
        <is>
          <t>Receipt ID</t>
        </is>
      </c>
      <c r="K1" s="3" t="inlineStr">
        <is>
          <t>Status</t>
        </is>
      </c>
      <c r="L1" s="3" t="inlineStr">
        <is>
          <t>Policy notes</t>
        </is>
      </c>
    </row>
    <row r="2">
      <c r="A2" s="7" t="n">
        <v>46266</v>
      </c>
      <c r="B2" t="inlineStr">
        <is>
          <t>Laura Gómez</t>
        </is>
      </c>
      <c r="C2" t="inlineStr">
        <is>
          <t>Software</t>
        </is>
      </c>
      <c r="D2" t="inlineStr">
        <is>
          <t>Canva Pro</t>
        </is>
      </c>
      <c r="E2" t="inlineStr">
        <is>
          <t>Monthly subscription</t>
        </is>
      </c>
      <c r="F2" s="8" t="n">
        <v>14.99</v>
      </c>
      <c r="G2" t="inlineStr">
        <is>
          <t>USD</t>
        </is>
      </c>
      <c r="H2" t="n">
        <v>1</v>
      </c>
      <c r="I2" s="4">
        <f>ROUND(F2*H2,2)</f>
        <v/>
      </c>
      <c r="J2" t="inlineStr">
        <is>
          <t>R-1029</t>
        </is>
      </c>
      <c r="K2" t="inlineStr">
        <is>
          <t>OK</t>
        </is>
      </c>
      <c r="L2" t="inlineStr"/>
    </row>
    <row r="3">
      <c r="A3" s="7" t="n">
        <v>46266</v>
      </c>
      <c r="B3" t="inlineStr">
        <is>
          <t>Peter Novak</t>
        </is>
      </c>
      <c r="C3" t="inlineStr">
        <is>
          <t>Software</t>
        </is>
      </c>
      <c r="D3" t="inlineStr">
        <is>
          <t>Zoom</t>
        </is>
      </c>
      <c r="E3" t="inlineStr">
        <is>
          <t>Monthly subscription</t>
        </is>
      </c>
      <c r="F3" s="8" t="n">
        <v>15.99</v>
      </c>
      <c r="G3" t="inlineStr">
        <is>
          <t>USD</t>
        </is>
      </c>
      <c r="H3" t="n">
        <v>1</v>
      </c>
      <c r="I3" s="4">
        <f>ROUND(F3*H3,2)</f>
        <v/>
      </c>
      <c r="J3" t="inlineStr">
        <is>
          <t>R-1030</t>
        </is>
      </c>
      <c r="K3" t="inlineStr">
        <is>
          <t>OK</t>
        </is>
      </c>
      <c r="L3" t="inlineStr"/>
    </row>
    <row r="4">
      <c r="A4" s="7" t="n">
        <v>46267</v>
      </c>
      <c r="B4" t="inlineStr">
        <is>
          <t>Peter Novak</t>
        </is>
      </c>
      <c r="C4" t="inlineStr">
        <is>
          <t>Office Supplies</t>
        </is>
      </c>
      <c r="D4" t="inlineStr">
        <is>
          <t>Staples</t>
        </is>
      </c>
      <c r="E4" t="inlineStr">
        <is>
          <t>Printer paper and pens</t>
        </is>
      </c>
      <c r="F4" s="8" t="n">
        <v>51.23</v>
      </c>
      <c r="G4" t="inlineStr">
        <is>
          <t>USD</t>
        </is>
      </c>
      <c r="H4" t="n">
        <v>1</v>
      </c>
      <c r="I4" s="4">
        <f>ROUND(F4*H4,2)</f>
        <v/>
      </c>
      <c r="J4" t="inlineStr">
        <is>
          <t>R-1025</t>
        </is>
      </c>
      <c r="K4" t="inlineStr">
        <is>
          <t>OK</t>
        </is>
      </c>
      <c r="L4" t="inlineStr"/>
    </row>
    <row r="5">
      <c r="A5" s="7" t="n">
        <v>46268</v>
      </c>
      <c r="B5" t="inlineStr">
        <is>
          <t>Laura Gómez</t>
        </is>
      </c>
      <c r="C5" t="inlineStr">
        <is>
          <t>Transport</t>
        </is>
      </c>
      <c r="D5" t="inlineStr">
        <is>
          <t>Metro card</t>
        </is>
      </c>
      <c r="E5" t="inlineStr">
        <is>
          <t>Ride to client office</t>
        </is>
      </c>
      <c r="F5" s="8" t="n">
        <v>11.47</v>
      </c>
      <c r="G5" t="inlineStr">
        <is>
          <t>USD</t>
        </is>
      </c>
      <c r="H5" t="n">
        <v>1</v>
      </c>
      <c r="I5" s="4">
        <f>ROUND(F5*H5,2)</f>
        <v/>
      </c>
      <c r="J5" t="inlineStr">
        <is>
          <t>R-1017</t>
        </is>
      </c>
      <c r="K5" t="inlineStr">
        <is>
          <t>OK</t>
        </is>
      </c>
      <c r="L5" t="inlineStr"/>
    </row>
    <row r="6">
      <c r="A6" s="7" t="n">
        <v>46269</v>
      </c>
      <c r="B6" t="inlineStr">
        <is>
          <t>Laura Gómez</t>
        </is>
      </c>
      <c r="C6" t="inlineStr">
        <is>
          <t>Meals</t>
        </is>
      </c>
      <c r="D6" t="inlineStr">
        <is>
          <t>Green Bowl Café</t>
        </is>
      </c>
      <c r="E6" t="inlineStr">
        <is>
          <t>Lunch with client</t>
        </is>
      </c>
      <c r="F6" s="8" t="n">
        <v>8.94</v>
      </c>
      <c r="G6" t="inlineStr">
        <is>
          <t>USD</t>
        </is>
      </c>
      <c r="H6" t="n">
        <v>1</v>
      </c>
      <c r="I6" s="4">
        <f>ROUND(F6*H6,2)</f>
        <v/>
      </c>
      <c r="J6" t="inlineStr">
        <is>
          <t>R-1001</t>
        </is>
      </c>
      <c r="K6" t="inlineStr">
        <is>
          <t>OK</t>
        </is>
      </c>
      <c r="L6" t="inlineStr"/>
    </row>
    <row r="7">
      <c r="A7" s="7" t="n">
        <v>46269</v>
      </c>
      <c r="B7" t="inlineStr">
        <is>
          <t>Martín Sosa</t>
        </is>
      </c>
      <c r="C7" t="inlineStr">
        <is>
          <t>Meals</t>
        </is>
      </c>
      <c r="D7" t="inlineStr">
        <is>
          <t>Deli 24</t>
        </is>
      </c>
      <c r="E7" t="inlineStr">
        <is>
          <t>Lunch with client</t>
        </is>
      </c>
      <c r="F7" s="8" t="n">
        <v>13.05</v>
      </c>
      <c r="G7" t="inlineStr">
        <is>
          <t>USD</t>
        </is>
      </c>
      <c r="H7" t="n">
        <v>1</v>
      </c>
      <c r="I7" s="4">
        <f>ROUND(F7*H7,2)</f>
        <v/>
      </c>
      <c r="J7" t="inlineStr">
        <is>
          <t>R-1002</t>
        </is>
      </c>
      <c r="K7" t="inlineStr">
        <is>
          <t>OK</t>
        </is>
      </c>
      <c r="L7" t="inlineStr"/>
    </row>
    <row r="8">
      <c r="A8" s="7" t="n">
        <v>46272</v>
      </c>
      <c r="B8" t="inlineStr">
        <is>
          <t>Laura Gómez</t>
        </is>
      </c>
      <c r="C8" t="inlineStr">
        <is>
          <t>Meals</t>
        </is>
      </c>
      <c r="D8" t="inlineStr">
        <is>
          <t>Green Bowl Café</t>
        </is>
      </c>
      <c r="E8" t="inlineStr">
        <is>
          <t>Lunch with client</t>
        </is>
      </c>
      <c r="F8" s="8" t="n">
        <v>13.61</v>
      </c>
      <c r="G8" t="inlineStr">
        <is>
          <t>USD</t>
        </is>
      </c>
      <c r="H8" t="n">
        <v>1</v>
      </c>
      <c r="I8" s="4">
        <f>ROUND(F8*H8,2)</f>
        <v/>
      </c>
      <c r="J8" t="inlineStr">
        <is>
          <t>R-1003</t>
        </is>
      </c>
      <c r="K8" t="inlineStr">
        <is>
          <t>OK</t>
        </is>
      </c>
      <c r="L8" t="inlineStr"/>
    </row>
    <row r="9">
      <c r="A9" s="7" t="n">
        <v>46274</v>
      </c>
      <c r="B9" t="inlineStr">
        <is>
          <t>Peter Novak</t>
        </is>
      </c>
      <c r="C9" t="inlineStr">
        <is>
          <t>Meals</t>
        </is>
      </c>
      <c r="D9" t="inlineStr">
        <is>
          <t>La Parrilla</t>
        </is>
      </c>
      <c r="E9" t="inlineStr">
        <is>
          <t>Lunch with client</t>
        </is>
      </c>
      <c r="F9" s="8" t="n">
        <v>10.2</v>
      </c>
      <c r="G9" t="inlineStr">
        <is>
          <t>USD</t>
        </is>
      </c>
      <c r="H9" t="n">
        <v>1</v>
      </c>
      <c r="I9" s="4">
        <f>ROUND(F9*H9,2)</f>
        <v/>
      </c>
      <c r="J9" t="inlineStr">
        <is>
          <t>R-1004</t>
        </is>
      </c>
      <c r="K9" t="inlineStr">
        <is>
          <t>OK</t>
        </is>
      </c>
      <c r="L9" t="inlineStr"/>
    </row>
    <row r="10">
      <c r="A10" s="7" t="n">
        <v>46275</v>
      </c>
      <c r="B10" t="inlineStr">
        <is>
          <t>Martín Sosa</t>
        </is>
      </c>
      <c r="C10" t="inlineStr">
        <is>
          <t>Transport</t>
        </is>
      </c>
      <c r="D10" t="inlineStr">
        <is>
          <t>City Taxi</t>
        </is>
      </c>
      <c r="E10" t="inlineStr">
        <is>
          <t>Airport transfer</t>
        </is>
      </c>
      <c r="F10" s="8" t="n">
        <v>24000</v>
      </c>
      <c r="G10" t="inlineStr">
        <is>
          <t>ARS</t>
        </is>
      </c>
      <c r="H10" t="n">
        <v>0.001</v>
      </c>
      <c r="I10" s="4">
        <f>ROUND(F10*H10,2)</f>
        <v/>
      </c>
      <c r="J10" t="inlineStr">
        <is>
          <t>R-1036</t>
        </is>
      </c>
      <c r="K10" t="inlineStr">
        <is>
          <t>OK</t>
        </is>
      </c>
      <c r="L10" t="inlineStr"/>
    </row>
    <row r="11">
      <c r="A11" s="7" t="n">
        <v>46276</v>
      </c>
      <c r="B11" t="inlineStr">
        <is>
          <t>Peter Novak</t>
        </is>
      </c>
      <c r="C11" t="inlineStr">
        <is>
          <t>Transport</t>
        </is>
      </c>
      <c r="D11" t="inlineStr">
        <is>
          <t>Metro card</t>
        </is>
      </c>
      <c r="E11" t="inlineStr">
        <is>
          <t>Ride to client office</t>
        </is>
      </c>
      <c r="F11" s="8" t="n">
        <v>13.78</v>
      </c>
      <c r="G11" t="inlineStr">
        <is>
          <t>USD</t>
        </is>
      </c>
      <c r="H11" t="n">
        <v>1</v>
      </c>
      <c r="I11" s="4">
        <f>ROUND(F11*H11,2)</f>
        <v/>
      </c>
      <c r="J11" t="inlineStr">
        <is>
          <t>R-1024</t>
        </is>
      </c>
      <c r="K11" t="inlineStr">
        <is>
          <t>OK</t>
        </is>
      </c>
      <c r="L11" t="inlineStr"/>
    </row>
    <row r="12">
      <c r="A12" s="7" t="n">
        <v>46279</v>
      </c>
      <c r="B12" t="inlineStr">
        <is>
          <t>Laura Gómez</t>
        </is>
      </c>
      <c r="C12" t="inlineStr">
        <is>
          <t>Transport</t>
        </is>
      </c>
      <c r="D12" t="inlineStr">
        <is>
          <t>Uber</t>
        </is>
      </c>
      <c r="E12" t="inlineStr">
        <is>
          <t>Ride to client office</t>
        </is>
      </c>
      <c r="F12" s="8" t="n">
        <v>26.8</v>
      </c>
      <c r="G12" t="inlineStr">
        <is>
          <t>USD</t>
        </is>
      </c>
      <c r="H12" t="n">
        <v>1</v>
      </c>
      <c r="I12" s="4">
        <f>ROUND(F12*H12,2)</f>
        <v/>
      </c>
      <c r="J12" t="inlineStr">
        <is>
          <t>R-1018</t>
        </is>
      </c>
      <c r="K12" t="inlineStr">
        <is>
          <t>OK</t>
        </is>
      </c>
      <c r="L12" t="inlineStr"/>
    </row>
    <row r="13">
      <c r="A13" s="7" t="n">
        <v>46279</v>
      </c>
      <c r="B13" t="inlineStr">
        <is>
          <t>Martín Sosa</t>
        </is>
      </c>
      <c r="C13" t="inlineStr">
        <is>
          <t>Meals</t>
        </is>
      </c>
      <c r="D13" t="inlineStr">
        <is>
          <t>Sushi Go</t>
        </is>
      </c>
      <c r="E13" t="inlineStr">
        <is>
          <t>Lunch with client</t>
        </is>
      </c>
      <c r="F13" s="8" t="n">
        <v>16.09</v>
      </c>
      <c r="G13" t="inlineStr">
        <is>
          <t>USD</t>
        </is>
      </c>
      <c r="H13" t="n">
        <v>1</v>
      </c>
      <c r="I13" s="4">
        <f>ROUND(F13*H13,2)</f>
        <v/>
      </c>
      <c r="J13" t="inlineStr">
        <is>
          <t>R-1005</t>
        </is>
      </c>
      <c r="K13" t="inlineStr">
        <is>
          <t>OK</t>
        </is>
      </c>
      <c r="L13" t="inlineStr"/>
    </row>
    <row r="14">
      <c r="A14" s="7" t="n">
        <v>46279</v>
      </c>
      <c r="B14" t="inlineStr">
        <is>
          <t>Peter Novak</t>
        </is>
      </c>
      <c r="C14" t="inlineStr">
        <is>
          <t>Meals</t>
        </is>
      </c>
      <c r="D14" t="inlineStr">
        <is>
          <t>Green Bowl Café</t>
        </is>
      </c>
      <c r="E14" t="inlineStr">
        <is>
          <t>Lunch with client</t>
        </is>
      </c>
      <c r="F14" s="8" t="n">
        <v>15.59</v>
      </c>
      <c r="G14" t="inlineStr">
        <is>
          <t>USD</t>
        </is>
      </c>
      <c r="H14" t="n">
        <v>1</v>
      </c>
      <c r="I14" s="4">
        <f>ROUND(F14*H14,2)</f>
        <v/>
      </c>
      <c r="J14" t="inlineStr">
        <is>
          <t>R-1006</t>
        </is>
      </c>
      <c r="K14" t="inlineStr">
        <is>
          <t>OK</t>
        </is>
      </c>
      <c r="L14" t="inlineStr"/>
    </row>
    <row r="15">
      <c r="A15" s="7" t="n">
        <v>46280</v>
      </c>
      <c r="B15" t="inlineStr">
        <is>
          <t>Aisha Bello</t>
        </is>
      </c>
      <c r="C15" t="inlineStr">
        <is>
          <t>Meals</t>
        </is>
      </c>
      <c r="D15" t="inlineStr">
        <is>
          <t>Deli 24</t>
        </is>
      </c>
      <c r="E15" t="inlineStr">
        <is>
          <t>Lunch with client</t>
        </is>
      </c>
      <c r="F15" s="8" t="n">
        <v>14.98</v>
      </c>
      <c r="G15" t="inlineStr">
        <is>
          <t>USD</t>
        </is>
      </c>
      <c r="H15" t="n">
        <v>1</v>
      </c>
      <c r="I15" s="4">
        <f>ROUND(F15*H15,2)</f>
        <v/>
      </c>
      <c r="J15" t="inlineStr">
        <is>
          <t>R-1007</t>
        </is>
      </c>
      <c r="K15" t="inlineStr">
        <is>
          <t>OK</t>
        </is>
      </c>
      <c r="L15" t="inlineStr"/>
    </row>
    <row r="16">
      <c r="A16" s="7" t="n">
        <v>46281</v>
      </c>
      <c r="B16" t="inlineStr">
        <is>
          <t>Laura Gómez</t>
        </is>
      </c>
      <c r="C16" t="inlineStr">
        <is>
          <t>Meals</t>
        </is>
      </c>
      <c r="D16" t="inlineStr">
        <is>
          <t>Sushi Go</t>
        </is>
      </c>
      <c r="E16" t="inlineStr">
        <is>
          <t>Lunch with client</t>
        </is>
      </c>
      <c r="F16" s="8" t="n">
        <v>10.78</v>
      </c>
      <c r="G16" t="inlineStr">
        <is>
          <t>USD</t>
        </is>
      </c>
      <c r="H16" t="n">
        <v>1</v>
      </c>
      <c r="I16" s="4">
        <f>ROUND(F16*H16,2)</f>
        <v/>
      </c>
      <c r="J16" t="inlineStr">
        <is>
          <t>R-1008</t>
        </is>
      </c>
      <c r="K16" t="inlineStr">
        <is>
          <t>OK</t>
        </is>
      </c>
      <c r="L16" t="inlineStr"/>
    </row>
    <row r="17">
      <c r="A17" s="7" t="n">
        <v>46281</v>
      </c>
      <c r="B17" t="inlineStr">
        <is>
          <t>Peter Novak</t>
        </is>
      </c>
      <c r="C17" t="inlineStr">
        <is>
          <t>Transport</t>
        </is>
      </c>
      <c r="D17" t="inlineStr">
        <is>
          <t>City Taxi</t>
        </is>
      </c>
      <c r="E17" t="inlineStr">
        <is>
          <t>Ride to client office</t>
        </is>
      </c>
      <c r="F17" s="8" t="n">
        <v>14.53</v>
      </c>
      <c r="G17" t="inlineStr">
        <is>
          <t>USD</t>
        </is>
      </c>
      <c r="H17" t="n">
        <v>1</v>
      </c>
      <c r="I17" s="4">
        <f>ROUND(F17*H17,2)</f>
        <v/>
      </c>
      <c r="J17" t="inlineStr">
        <is>
          <t>R-1020</t>
        </is>
      </c>
      <c r="K17" t="inlineStr">
        <is>
          <t>OK</t>
        </is>
      </c>
      <c r="L17" t="inlineStr"/>
    </row>
    <row r="18">
      <c r="A18" s="9" t="n">
        <v>46281</v>
      </c>
      <c r="B18" s="10" t="inlineStr">
        <is>
          <t>Peter Novak</t>
        </is>
      </c>
      <c r="C18" s="10" t="inlineStr">
        <is>
          <t>Meals</t>
        </is>
      </c>
      <c r="D18" s="10" t="inlineStr">
        <is>
          <t>La Parrilla</t>
        </is>
      </c>
      <c r="E18" s="10" t="inlineStr">
        <is>
          <t>Team dinner</t>
        </is>
      </c>
      <c r="F18" s="11" t="n">
        <v>21.4</v>
      </c>
      <c r="G18" s="10" t="inlineStr">
        <is>
          <t>USD</t>
        </is>
      </c>
      <c r="H18" s="10" t="n">
        <v>1</v>
      </c>
      <c r="I18" s="12">
        <f>ROUND(F18*H18,2)</f>
        <v/>
      </c>
      <c r="J18" s="10" t="inlineStr">
        <is>
          <t>R-1031</t>
        </is>
      </c>
      <c r="K18" s="10" t="inlineStr">
        <is>
          <t>FLAGGED</t>
        </is>
      </c>
      <c r="L18" s="10" t="inlineStr">
        <is>
          <t>meals USD 31.20 that day &gt; USD 25/day cap</t>
        </is>
      </c>
    </row>
    <row r="19">
      <c r="A19" s="9" t="n">
        <v>46281</v>
      </c>
      <c r="B19" s="10" t="inlineStr">
        <is>
          <t>Peter Novak</t>
        </is>
      </c>
      <c r="C19" s="10" t="inlineStr">
        <is>
          <t>Meals</t>
        </is>
      </c>
      <c r="D19" s="10" t="inlineStr">
        <is>
          <t>Deli 24</t>
        </is>
      </c>
      <c r="E19" s="10" t="inlineStr">
        <is>
          <t>Coffee and snacks</t>
        </is>
      </c>
      <c r="F19" s="11" t="n">
        <v>9.800000000000001</v>
      </c>
      <c r="G19" s="10" t="inlineStr">
        <is>
          <t>USD</t>
        </is>
      </c>
      <c r="H19" s="10" t="n">
        <v>1</v>
      </c>
      <c r="I19" s="12">
        <f>ROUND(F19*H19,2)</f>
        <v/>
      </c>
      <c r="J19" s="10" t="inlineStr">
        <is>
          <t>R-1032</t>
        </is>
      </c>
      <c r="K19" s="10" t="inlineStr">
        <is>
          <t>FLAGGED</t>
        </is>
      </c>
      <c r="L19" s="10" t="inlineStr">
        <is>
          <t>meals USD 31.20 that day &gt; USD 25/day cap</t>
        </is>
      </c>
    </row>
    <row r="20">
      <c r="A20" s="7" t="n">
        <v>46282</v>
      </c>
      <c r="B20" t="inlineStr">
        <is>
          <t>Aisha Bello</t>
        </is>
      </c>
      <c r="C20" t="inlineStr">
        <is>
          <t>Transport</t>
        </is>
      </c>
      <c r="D20" t="inlineStr">
        <is>
          <t>City Taxi</t>
        </is>
      </c>
      <c r="E20" t="inlineStr">
        <is>
          <t>Ride to client office</t>
        </is>
      </c>
      <c r="F20" s="8" t="n">
        <v>21.26</v>
      </c>
      <c r="G20" t="inlineStr">
        <is>
          <t>USD</t>
        </is>
      </c>
      <c r="H20" t="n">
        <v>1</v>
      </c>
      <c r="I20" s="4">
        <f>ROUND(F20*H20,2)</f>
        <v/>
      </c>
      <c r="J20" t="inlineStr">
        <is>
          <t>R-1019</t>
        </is>
      </c>
      <c r="K20" t="inlineStr">
        <is>
          <t>OK</t>
        </is>
      </c>
      <c r="L20" t="inlineStr"/>
    </row>
    <row r="21">
      <c r="A21" s="7" t="n">
        <v>46282</v>
      </c>
      <c r="B21" t="inlineStr">
        <is>
          <t>Aisha Bello</t>
        </is>
      </c>
      <c r="C21" t="inlineStr">
        <is>
          <t>Office Supplies</t>
        </is>
      </c>
      <c r="D21" t="inlineStr">
        <is>
          <t>Staples</t>
        </is>
      </c>
      <c r="E21" t="inlineStr">
        <is>
          <t>Printer paper and pens</t>
        </is>
      </c>
      <c r="F21" s="8" t="n">
        <v>24.49</v>
      </c>
      <c r="G21" t="inlineStr">
        <is>
          <t>USD</t>
        </is>
      </c>
      <c r="H21" t="n">
        <v>1</v>
      </c>
      <c r="I21" s="4">
        <f>ROUND(F21*H21,2)</f>
        <v/>
      </c>
      <c r="J21" t="inlineStr">
        <is>
          <t>R-1026</t>
        </is>
      </c>
      <c r="K21" t="inlineStr">
        <is>
          <t>OK</t>
        </is>
      </c>
      <c r="L21" t="inlineStr"/>
    </row>
    <row r="22">
      <c r="A22" s="7" t="n">
        <v>46282</v>
      </c>
      <c r="B22" t="inlineStr">
        <is>
          <t>Laura Gómez</t>
        </is>
      </c>
      <c r="C22" t="inlineStr">
        <is>
          <t>Transport</t>
        </is>
      </c>
      <c r="D22" t="inlineStr">
        <is>
          <t>Metro card</t>
        </is>
      </c>
      <c r="E22" t="inlineStr">
        <is>
          <t>Ride to client office</t>
        </is>
      </c>
      <c r="F22" s="8" t="n">
        <v>13.04</v>
      </c>
      <c r="G22" t="inlineStr">
        <is>
          <t>USD</t>
        </is>
      </c>
      <c r="H22" t="n">
        <v>1</v>
      </c>
      <c r="I22" s="4">
        <f>ROUND(F22*H22,2)</f>
        <v/>
      </c>
      <c r="J22" t="inlineStr">
        <is>
          <t>R-1015</t>
        </is>
      </c>
      <c r="K22" t="inlineStr">
        <is>
          <t>OK</t>
        </is>
      </c>
      <c r="L22" t="inlineStr"/>
    </row>
    <row r="23">
      <c r="A23" s="7" t="n">
        <v>46282</v>
      </c>
      <c r="B23" t="inlineStr">
        <is>
          <t>Martín Sosa</t>
        </is>
      </c>
      <c r="C23" t="inlineStr">
        <is>
          <t>Office Supplies</t>
        </is>
      </c>
      <c r="D23" t="inlineStr">
        <is>
          <t>Staples</t>
        </is>
      </c>
      <c r="E23" t="inlineStr">
        <is>
          <t>Printer paper and pens</t>
        </is>
      </c>
      <c r="F23" s="8" t="n">
        <v>26.92</v>
      </c>
      <c r="G23" t="inlineStr">
        <is>
          <t>USD</t>
        </is>
      </c>
      <c r="H23" t="n">
        <v>1</v>
      </c>
      <c r="I23" s="4">
        <f>ROUND(F23*H23,2)</f>
        <v/>
      </c>
      <c r="J23" t="inlineStr">
        <is>
          <t>R-1028</t>
        </is>
      </c>
      <c r="K23" t="inlineStr">
        <is>
          <t>OK</t>
        </is>
      </c>
      <c r="L23" t="inlineStr"/>
    </row>
    <row r="24">
      <c r="A24" s="7" t="n">
        <v>46283</v>
      </c>
      <c r="B24" t="inlineStr">
        <is>
          <t>Laura Gómez</t>
        </is>
      </c>
      <c r="C24" t="inlineStr">
        <is>
          <t>Meals</t>
        </is>
      </c>
      <c r="D24" t="inlineStr">
        <is>
          <t>Deli 24</t>
        </is>
      </c>
      <c r="E24" t="inlineStr">
        <is>
          <t>Lunch with client</t>
        </is>
      </c>
      <c r="F24" s="8" t="n">
        <v>17.57</v>
      </c>
      <c r="G24" t="inlineStr">
        <is>
          <t>USD</t>
        </is>
      </c>
      <c r="H24" t="n">
        <v>1</v>
      </c>
      <c r="I24" s="4">
        <f>ROUND(F24*H24,2)</f>
        <v/>
      </c>
      <c r="J24" t="inlineStr">
        <is>
          <t>R-1009</t>
        </is>
      </c>
      <c r="K24" t="inlineStr">
        <is>
          <t>OK</t>
        </is>
      </c>
      <c r="L24" t="inlineStr"/>
    </row>
    <row r="25">
      <c r="A25" s="7" t="n">
        <v>46283</v>
      </c>
      <c r="B25" t="inlineStr">
        <is>
          <t>Laura Gómez</t>
        </is>
      </c>
      <c r="C25" t="inlineStr">
        <is>
          <t>Office Supplies</t>
        </is>
      </c>
      <c r="D25" t="inlineStr">
        <is>
          <t>OfficeMax</t>
        </is>
      </c>
      <c r="E25" t="inlineStr">
        <is>
          <t>Ink cartridges</t>
        </is>
      </c>
      <c r="F25" s="8" t="n">
        <v>42.3</v>
      </c>
      <c r="G25" t="inlineStr">
        <is>
          <t>USD</t>
        </is>
      </c>
      <c r="H25" t="n">
        <v>1</v>
      </c>
      <c r="I25" s="4">
        <f>ROUND(F25*H25,2)</f>
        <v/>
      </c>
      <c r="J25" t="inlineStr">
        <is>
          <t>R-1037</t>
        </is>
      </c>
      <c r="K25" t="inlineStr">
        <is>
          <t>OK</t>
        </is>
      </c>
      <c r="L25" t="inlineStr"/>
    </row>
    <row r="26">
      <c r="A26" s="9" t="n">
        <v>46283</v>
      </c>
      <c r="B26" s="10" t="inlineStr">
        <is>
          <t>Laura Gómez</t>
        </is>
      </c>
      <c r="C26" s="10" t="inlineStr">
        <is>
          <t>Office Supplies</t>
        </is>
      </c>
      <c r="D26" s="10" t="inlineStr">
        <is>
          <t>OfficeMax</t>
        </is>
      </c>
      <c r="E26" s="10" t="inlineStr">
        <is>
          <t>Ink cartridges</t>
        </is>
      </c>
      <c r="F26" s="11" t="n">
        <v>42.3</v>
      </c>
      <c r="G26" s="10" t="inlineStr">
        <is>
          <t>USD</t>
        </is>
      </c>
      <c r="H26" s="10" t="n">
        <v>1</v>
      </c>
      <c r="I26" s="12">
        <f>ROUND(F26*H26,2)</f>
        <v/>
      </c>
      <c r="J26" s="10" t="inlineStr">
        <is>
          <t>R-1038</t>
        </is>
      </c>
      <c r="K26" s="10" t="inlineStr">
        <is>
          <t>FLAGGED</t>
        </is>
      </c>
      <c r="L26" s="10" t="inlineStr">
        <is>
          <t>possible duplicate</t>
        </is>
      </c>
    </row>
    <row r="27">
      <c r="A27" s="7" t="n">
        <v>46283</v>
      </c>
      <c r="B27" t="inlineStr">
        <is>
          <t>Peter Novak</t>
        </is>
      </c>
      <c r="C27" t="inlineStr">
        <is>
          <t>Meals</t>
        </is>
      </c>
      <c r="D27" t="inlineStr">
        <is>
          <t>Sushi Go</t>
        </is>
      </c>
      <c r="E27" t="inlineStr">
        <is>
          <t>Lunch with client</t>
        </is>
      </c>
      <c r="F27" s="8" t="n">
        <v>9.02</v>
      </c>
      <c r="G27" t="inlineStr">
        <is>
          <t>USD</t>
        </is>
      </c>
      <c r="H27" t="n">
        <v>1</v>
      </c>
      <c r="I27" s="4">
        <f>ROUND(F27*H27,2)</f>
        <v/>
      </c>
      <c r="J27" t="inlineStr">
        <is>
          <t>R-1010</t>
        </is>
      </c>
      <c r="K27" t="inlineStr">
        <is>
          <t>OK</t>
        </is>
      </c>
      <c r="L27" t="inlineStr"/>
    </row>
    <row r="28">
      <c r="A28" s="7" t="n">
        <v>46286</v>
      </c>
      <c r="B28" t="inlineStr">
        <is>
          <t>Laura Gómez</t>
        </is>
      </c>
      <c r="C28" t="inlineStr">
        <is>
          <t>Meals</t>
        </is>
      </c>
      <c r="D28" t="inlineStr">
        <is>
          <t>La Parrilla</t>
        </is>
      </c>
      <c r="E28" t="inlineStr">
        <is>
          <t>Lunch with client</t>
        </is>
      </c>
      <c r="F28" s="8" t="n">
        <v>8.970000000000001</v>
      </c>
      <c r="G28" t="inlineStr">
        <is>
          <t>USD</t>
        </is>
      </c>
      <c r="H28" t="n">
        <v>1</v>
      </c>
      <c r="I28" s="4">
        <f>ROUND(F28*H28,2)</f>
        <v/>
      </c>
      <c r="J28" t="inlineStr">
        <is>
          <t>R-1011</t>
        </is>
      </c>
      <c r="K28" t="inlineStr">
        <is>
          <t>OK</t>
        </is>
      </c>
      <c r="L28" t="inlineStr"/>
    </row>
    <row r="29">
      <c r="A29" s="9" t="n">
        <v>46287</v>
      </c>
      <c r="B29" s="10" t="inlineStr">
        <is>
          <t>Aisha Bello</t>
        </is>
      </c>
      <c r="C29" s="10" t="inlineStr">
        <is>
          <t>Travel</t>
        </is>
      </c>
      <c r="D29" s="10" t="inlineStr">
        <is>
          <t>Delta</t>
        </is>
      </c>
      <c r="E29" s="10" t="inlineStr">
        <is>
          <t>Flight to Miami trade show</t>
        </is>
      </c>
      <c r="F29" s="11" t="n">
        <v>612</v>
      </c>
      <c r="G29" s="10" t="inlineStr">
        <is>
          <t>USD</t>
        </is>
      </c>
      <c r="H29" s="10" t="n">
        <v>1</v>
      </c>
      <c r="I29" s="12">
        <f>ROUND(F29*H29,2)</f>
        <v/>
      </c>
      <c r="J29" s="10" t="inlineStr">
        <is>
          <t>R-1033</t>
        </is>
      </c>
      <c r="K29" s="10" t="inlineStr">
        <is>
          <t>FLAGGED</t>
        </is>
      </c>
      <c r="L29" s="10" t="inlineStr">
        <is>
          <t>over USD 500: needs manager approval</t>
        </is>
      </c>
    </row>
    <row r="30">
      <c r="A30" s="7" t="n">
        <v>46287</v>
      </c>
      <c r="B30" t="inlineStr">
        <is>
          <t>Martín Sosa</t>
        </is>
      </c>
      <c r="C30" t="inlineStr">
        <is>
          <t>Meals</t>
        </is>
      </c>
      <c r="D30" t="inlineStr">
        <is>
          <t>Sushi Go</t>
        </is>
      </c>
      <c r="E30" t="inlineStr">
        <is>
          <t>Lunch with client</t>
        </is>
      </c>
      <c r="F30" s="8" t="n">
        <v>14.04</v>
      </c>
      <c r="G30" t="inlineStr">
        <is>
          <t>USD</t>
        </is>
      </c>
      <c r="H30" t="n">
        <v>1</v>
      </c>
      <c r="I30" s="4">
        <f>ROUND(F30*H30,2)</f>
        <v/>
      </c>
      <c r="J30" t="inlineStr">
        <is>
          <t>R-1012</t>
        </is>
      </c>
      <c r="K30" t="inlineStr">
        <is>
          <t>OK</t>
        </is>
      </c>
      <c r="L30" t="inlineStr"/>
    </row>
    <row r="31">
      <c r="A31" s="7" t="n">
        <v>46288</v>
      </c>
      <c r="B31" t="inlineStr">
        <is>
          <t>Aisha Bello</t>
        </is>
      </c>
      <c r="C31" t="inlineStr">
        <is>
          <t>Lodging</t>
        </is>
      </c>
      <c r="D31" t="inlineStr">
        <is>
          <t>Hotel Plaza</t>
        </is>
      </c>
      <c r="E31" t="inlineStr">
        <is>
          <t>Trade show hotel, 2 nights</t>
        </is>
      </c>
      <c r="F31" s="8" t="n">
        <v>368</v>
      </c>
      <c r="G31" t="inlineStr">
        <is>
          <t>USD</t>
        </is>
      </c>
      <c r="H31" t="n">
        <v>1</v>
      </c>
      <c r="I31" s="4">
        <f>ROUND(F31*H31,2)</f>
        <v/>
      </c>
      <c r="J31" t="inlineStr">
        <is>
          <t>R-1034</t>
        </is>
      </c>
      <c r="K31" t="inlineStr">
        <is>
          <t>OK</t>
        </is>
      </c>
      <c r="L31" t="inlineStr"/>
    </row>
    <row r="32">
      <c r="A32" s="9" t="n">
        <v>46288</v>
      </c>
      <c r="B32" s="10" t="inlineStr">
        <is>
          <t>Aisha Bello</t>
        </is>
      </c>
      <c r="C32" s="10" t="inlineStr">
        <is>
          <t>Meals</t>
        </is>
      </c>
      <c r="D32" s="10" t="inlineStr">
        <is>
          <t>Sushi Go</t>
        </is>
      </c>
      <c r="E32" s="10" t="inlineStr">
        <is>
          <t>Dinner, trade show</t>
        </is>
      </c>
      <c r="F32" s="11" t="n">
        <v>31</v>
      </c>
      <c r="G32" s="10" t="inlineStr">
        <is>
          <t>USD</t>
        </is>
      </c>
      <c r="H32" s="10" t="n">
        <v>1</v>
      </c>
      <c r="I32" s="12">
        <f>ROUND(F32*H32,2)</f>
        <v/>
      </c>
      <c r="J32" s="10" t="inlineStr"/>
      <c r="K32" s="10" t="inlineStr">
        <is>
          <t>FLAGGED</t>
        </is>
      </c>
      <c r="L32" s="10" t="inlineStr">
        <is>
          <t>missing receipt; meals USD 31.00 that day &gt; USD 25/day cap</t>
        </is>
      </c>
    </row>
    <row r="33">
      <c r="A33" s="7" t="n">
        <v>46289</v>
      </c>
      <c r="B33" t="inlineStr">
        <is>
          <t>Laura Gómez</t>
        </is>
      </c>
      <c r="C33" t="inlineStr">
        <is>
          <t>Meals</t>
        </is>
      </c>
      <c r="D33" t="inlineStr">
        <is>
          <t>Green Bowl Café</t>
        </is>
      </c>
      <c r="E33" t="inlineStr">
        <is>
          <t>Lunch with client</t>
        </is>
      </c>
      <c r="F33" s="8" t="n">
        <v>15.3</v>
      </c>
      <c r="G33" t="inlineStr">
        <is>
          <t>USD</t>
        </is>
      </c>
      <c r="H33" t="n">
        <v>1</v>
      </c>
      <c r="I33" s="4">
        <f>ROUND(F33*H33,2)</f>
        <v/>
      </c>
      <c r="J33" t="inlineStr">
        <is>
          <t>R-1013</t>
        </is>
      </c>
      <c r="K33" t="inlineStr">
        <is>
          <t>OK</t>
        </is>
      </c>
      <c r="L33" t="inlineStr"/>
    </row>
    <row r="34">
      <c r="A34" s="7" t="n">
        <v>46289</v>
      </c>
      <c r="B34" t="inlineStr">
        <is>
          <t>Peter Novak</t>
        </is>
      </c>
      <c r="C34" t="inlineStr">
        <is>
          <t>Transport</t>
        </is>
      </c>
      <c r="D34" t="inlineStr">
        <is>
          <t>Uber</t>
        </is>
      </c>
      <c r="E34" t="inlineStr">
        <is>
          <t>Ride to client office</t>
        </is>
      </c>
      <c r="F34" s="8" t="n">
        <v>17.09</v>
      </c>
      <c r="G34" t="inlineStr">
        <is>
          <t>USD</t>
        </is>
      </c>
      <c r="H34" t="n">
        <v>1</v>
      </c>
      <c r="I34" s="4">
        <f>ROUND(F34*H34,2)</f>
        <v/>
      </c>
      <c r="J34" t="inlineStr">
        <is>
          <t>R-1023</t>
        </is>
      </c>
      <c r="K34" t="inlineStr">
        <is>
          <t>OK</t>
        </is>
      </c>
      <c r="L34" t="inlineStr"/>
    </row>
    <row r="35">
      <c r="A35" s="7" t="n">
        <v>46290</v>
      </c>
      <c r="B35" t="inlineStr">
        <is>
          <t>Aisha Bello</t>
        </is>
      </c>
      <c r="C35" t="inlineStr">
        <is>
          <t>Office Supplies</t>
        </is>
      </c>
      <c r="D35" t="inlineStr">
        <is>
          <t>Staples</t>
        </is>
      </c>
      <c r="E35" t="inlineStr">
        <is>
          <t>Printer paper and pens</t>
        </is>
      </c>
      <c r="F35" s="8" t="n">
        <v>44.49</v>
      </c>
      <c r="G35" t="inlineStr">
        <is>
          <t>USD</t>
        </is>
      </c>
      <c r="H35" t="n">
        <v>1</v>
      </c>
      <c r="I35" s="4">
        <f>ROUND(F35*H35,2)</f>
        <v/>
      </c>
      <c r="J35" t="inlineStr">
        <is>
          <t>R-1027</t>
        </is>
      </c>
      <c r="K35" t="inlineStr">
        <is>
          <t>OK</t>
        </is>
      </c>
      <c r="L35" t="inlineStr"/>
    </row>
    <row r="36">
      <c r="A36" s="7" t="n">
        <v>46290</v>
      </c>
      <c r="B36" t="inlineStr">
        <is>
          <t>Martín Sosa</t>
        </is>
      </c>
      <c r="C36" t="inlineStr">
        <is>
          <t>Software</t>
        </is>
      </c>
      <c r="D36" t="inlineStr">
        <is>
          <t>Notion</t>
        </is>
      </c>
      <c r="E36" t="inlineStr">
        <is>
          <t>Team plan</t>
        </is>
      </c>
      <c r="F36" s="8" t="n">
        <v>18</v>
      </c>
      <c r="G36" t="inlineStr">
        <is>
          <t>EUR</t>
        </is>
      </c>
      <c r="H36" t="n">
        <v>1.08</v>
      </c>
      <c r="I36" s="4">
        <f>ROUND(F36*H36,2)</f>
        <v/>
      </c>
      <c r="J36" t="inlineStr">
        <is>
          <t>R-1039</t>
        </is>
      </c>
      <c r="K36" t="inlineStr">
        <is>
          <t>OK</t>
        </is>
      </c>
      <c r="L36" t="inlineStr"/>
    </row>
    <row r="37">
      <c r="A37" s="7" t="n">
        <v>46294</v>
      </c>
      <c r="B37" t="inlineStr">
        <is>
          <t>Aisha Bello</t>
        </is>
      </c>
      <c r="C37" t="inlineStr">
        <is>
          <t>Transport</t>
        </is>
      </c>
      <c r="D37" t="inlineStr">
        <is>
          <t>Metro card</t>
        </is>
      </c>
      <c r="E37" t="inlineStr">
        <is>
          <t>Ride to client office</t>
        </is>
      </c>
      <c r="F37" s="8" t="n">
        <v>10.61</v>
      </c>
      <c r="G37" t="inlineStr">
        <is>
          <t>USD</t>
        </is>
      </c>
      <c r="H37" t="n">
        <v>1</v>
      </c>
      <c r="I37" s="4">
        <f>ROUND(F37*H37,2)</f>
        <v/>
      </c>
      <c r="J37" t="inlineStr">
        <is>
          <t>R-1016</t>
        </is>
      </c>
      <c r="K37" t="inlineStr">
        <is>
          <t>OK</t>
        </is>
      </c>
      <c r="L37" t="inlineStr"/>
    </row>
    <row r="38">
      <c r="A38" s="7" t="n">
        <v>46294</v>
      </c>
      <c r="B38" t="inlineStr">
        <is>
          <t>Laura Gómez</t>
        </is>
      </c>
      <c r="C38" t="inlineStr">
        <is>
          <t>Transport</t>
        </is>
      </c>
      <c r="D38" t="inlineStr">
        <is>
          <t>Metro card</t>
        </is>
      </c>
      <c r="E38" t="inlineStr">
        <is>
          <t>Ride to client office</t>
        </is>
      </c>
      <c r="F38" s="8" t="n">
        <v>21.24</v>
      </c>
      <c r="G38" t="inlineStr">
        <is>
          <t>USD</t>
        </is>
      </c>
      <c r="H38" t="n">
        <v>1</v>
      </c>
      <c r="I38" s="4">
        <f>ROUND(F38*H38,2)</f>
        <v/>
      </c>
      <c r="J38" t="inlineStr">
        <is>
          <t>R-1022</t>
        </is>
      </c>
      <c r="K38" t="inlineStr">
        <is>
          <t>OK</t>
        </is>
      </c>
      <c r="L38" t="inlineStr"/>
    </row>
    <row r="39">
      <c r="A39" s="7" t="n">
        <v>46294</v>
      </c>
      <c r="B39" t="inlineStr">
        <is>
          <t>Martín Sosa</t>
        </is>
      </c>
      <c r="C39" t="inlineStr">
        <is>
          <t>Meals</t>
        </is>
      </c>
      <c r="D39" t="inlineStr">
        <is>
          <t>Green Bowl Café</t>
        </is>
      </c>
      <c r="E39" t="inlineStr">
        <is>
          <t>Lunch with client</t>
        </is>
      </c>
      <c r="F39" s="8" t="n">
        <v>17.73</v>
      </c>
      <c r="G39" t="inlineStr">
        <is>
          <t>USD</t>
        </is>
      </c>
      <c r="H39" t="n">
        <v>1</v>
      </c>
      <c r="I39" s="4">
        <f>ROUND(F39*H39,2)</f>
        <v/>
      </c>
      <c r="J39" t="inlineStr">
        <is>
          <t>R-1014</t>
        </is>
      </c>
      <c r="K39" t="inlineStr">
        <is>
          <t>OK</t>
        </is>
      </c>
      <c r="L39" t="inlineStr"/>
    </row>
    <row r="40">
      <c r="A40" s="7" t="n">
        <v>46295</v>
      </c>
      <c r="B40" t="inlineStr">
        <is>
          <t>Aisha Bello</t>
        </is>
      </c>
      <c r="C40" t="inlineStr">
        <is>
          <t>Transport</t>
        </is>
      </c>
      <c r="D40" t="inlineStr">
        <is>
          <t>Metro card</t>
        </is>
      </c>
      <c r="E40" t="inlineStr">
        <is>
          <t>Ride to client office</t>
        </is>
      </c>
      <c r="F40" s="8" t="n">
        <v>28.48</v>
      </c>
      <c r="G40" t="inlineStr">
        <is>
          <t>USD</t>
        </is>
      </c>
      <c r="H40" t="n">
        <v>1</v>
      </c>
      <c r="I40" s="4">
        <f>ROUND(F40*H40,2)</f>
        <v/>
      </c>
      <c r="J40" t="inlineStr">
        <is>
          <t>R-1021</t>
        </is>
      </c>
      <c r="K40" t="inlineStr">
        <is>
          <t>OK</t>
        </is>
      </c>
      <c r="L40" t="inlineStr"/>
    </row>
    <row r="41">
      <c r="A41" s="13" t="inlineStr">
        <is>
          <t>TOTAL</t>
        </is>
      </c>
      <c r="B41" s="5" t="n"/>
      <c r="C41" s="5" t="n"/>
      <c r="D41" s="5" t="n"/>
      <c r="E41" s="5" t="n"/>
      <c r="F41" s="14" t="n"/>
      <c r="G41" s="5" t="n"/>
      <c r="H41" s="5" t="n"/>
      <c r="I41" s="6">
        <f>SUM(I2:I40)</f>
        <v/>
      </c>
      <c r="J41" s="5" t="n"/>
      <c r="K41" s="5" t="n"/>
      <c r="L41" s="5" t="n"/>
    </row>
  </sheetData>
  <autoFilter ref="A1:L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3" customWidth="1" min="4" max="4"/>
    <col width="12" customWidth="1" min="5" max="5"/>
    <col width="60" customWidth="1" min="6" max="6"/>
  </cols>
  <sheetData>
    <row r="1">
      <c r="A1" s="3" t="inlineStr">
        <is>
          <t>Date</t>
        </is>
      </c>
      <c r="B1" s="3" t="inlineStr">
        <is>
          <t>Employee</t>
        </is>
      </c>
      <c r="C1" s="3" t="inlineStr">
        <is>
          <t>Category</t>
        </is>
      </c>
      <c r="D1" s="3" t="inlineStr">
        <is>
          <t>Vendor</t>
        </is>
      </c>
      <c r="E1" s="3" t="inlineStr">
        <is>
          <t>Amount USD</t>
        </is>
      </c>
      <c r="F1" s="3" t="inlineStr">
        <is>
          <t>Issue(s)</t>
        </is>
      </c>
    </row>
    <row r="2">
      <c r="A2" s="7" t="n">
        <v>46281</v>
      </c>
      <c r="B2" t="inlineStr">
        <is>
          <t>Peter Novak</t>
        </is>
      </c>
      <c r="C2" t="inlineStr">
        <is>
          <t>Meals</t>
        </is>
      </c>
      <c r="D2" t="inlineStr">
        <is>
          <t>La Parrilla</t>
        </is>
      </c>
      <c r="E2" s="4" t="n">
        <v>21.4</v>
      </c>
      <c r="F2" t="inlineStr">
        <is>
          <t>meals USD 31.20 that day &gt; USD 25/day cap</t>
        </is>
      </c>
    </row>
    <row r="3">
      <c r="A3" s="7" t="n">
        <v>46281</v>
      </c>
      <c r="B3" t="inlineStr">
        <is>
          <t>Peter Novak</t>
        </is>
      </c>
      <c r="C3" t="inlineStr">
        <is>
          <t>Meals</t>
        </is>
      </c>
      <c r="D3" t="inlineStr">
        <is>
          <t>Deli 24</t>
        </is>
      </c>
      <c r="E3" s="4" t="n">
        <v>9.800000000000001</v>
      </c>
      <c r="F3" t="inlineStr">
        <is>
          <t>meals USD 31.20 that day &gt; USD 25/day cap</t>
        </is>
      </c>
    </row>
    <row r="4">
      <c r="A4" s="7" t="n">
        <v>46283</v>
      </c>
      <c r="B4" t="inlineStr">
        <is>
          <t>Laura Gómez</t>
        </is>
      </c>
      <c r="C4" t="inlineStr">
        <is>
          <t>Office Supplies</t>
        </is>
      </c>
      <c r="D4" t="inlineStr">
        <is>
          <t>OfficeMax</t>
        </is>
      </c>
      <c r="E4" s="4" t="n">
        <v>42.3</v>
      </c>
      <c r="F4" t="inlineStr">
        <is>
          <t>possible duplicate</t>
        </is>
      </c>
    </row>
    <row r="5">
      <c r="A5" s="7" t="n">
        <v>46287</v>
      </c>
      <c r="B5" t="inlineStr">
        <is>
          <t>Aisha Bello</t>
        </is>
      </c>
      <c r="C5" t="inlineStr">
        <is>
          <t>Travel</t>
        </is>
      </c>
      <c r="D5" t="inlineStr">
        <is>
          <t>Delta</t>
        </is>
      </c>
      <c r="E5" s="4" t="n">
        <v>612</v>
      </c>
      <c r="F5" t="inlineStr">
        <is>
          <t>over USD 500: needs manager approval</t>
        </is>
      </c>
    </row>
    <row r="6">
      <c r="A6" s="7" t="n">
        <v>46288</v>
      </c>
      <c r="B6" t="inlineStr">
        <is>
          <t>Aisha Bello</t>
        </is>
      </c>
      <c r="C6" t="inlineStr">
        <is>
          <t>Meals</t>
        </is>
      </c>
      <c r="D6" t="inlineStr">
        <is>
          <t>Sushi Go</t>
        </is>
      </c>
      <c r="E6" s="4" t="n">
        <v>31</v>
      </c>
      <c r="F6" t="inlineStr">
        <is>
          <t>missing receipt; meals USD 31.00 that day &gt; USD 25/day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2026-10-03T23:12:17Z</dcterms:created>
  <dcterms:modified xsi:type="dcterms:W3CDTF">2026-10-03T23:12:17Z</dcterms:modified>
</cp:coreProperties>
</file>